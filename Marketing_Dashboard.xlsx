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visible" r:id="rId2"/>
    <sheet name="Data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4"/>
    </font>
    <font>
      <name val="Montserrat"/>
      <sz val="10"/>
    </font>
    <font>
      <name val="Montserrat"/>
      <color rgb="00808080"/>
      <sz val="10"/>
    </font>
    <font>
      <name val="Montserrat"/>
      <b val="1"/>
      <color rgb="00FFFFFF"/>
      <sz val="13"/>
    </font>
    <font>
      <name val="Montserrat"/>
      <color rgb="00A4ACBA"/>
      <sz val="9"/>
    </font>
    <font>
      <name val="Montserrat"/>
      <b val="1"/>
      <color rgb="002D323C"/>
      <sz val="20"/>
    </font>
    <font>
      <name val="Montserrat"/>
      <color rgb="00808080"/>
      <sz val="9"/>
    </font>
    <font>
      <name val="Montserrat"/>
      <color rgb="002D323C"/>
      <sz val="10"/>
    </font>
    <font>
      <name val="Montserrat"/>
      <b val="1"/>
      <color rgb="00000000"/>
      <sz val="13"/>
    </font>
  </fonts>
  <fills count="9">
    <fill>
      <patternFill/>
    </fill>
    <fill>
      <patternFill patternType="gray125"/>
    </fill>
    <fill>
      <patternFill patternType="solid"/>
    </fill>
    <fill>
      <patternFill patternType="solid">
        <fgColor rgb="001C4C8A"/>
        <bgColor rgb="001C4C8A"/>
      </patternFill>
    </fill>
    <fill>
      <patternFill patternType="solid">
        <fgColor rgb="00E4405F"/>
        <bgColor rgb="00E4405F"/>
      </patternFill>
    </fill>
    <fill>
      <patternFill patternType="solid">
        <fgColor rgb="001877F2"/>
        <bgColor rgb="001877F2"/>
      </patternFill>
    </fill>
    <fill>
      <patternFill patternType="solid">
        <fgColor rgb="00FF0000"/>
        <bgColor rgb="00FF0000"/>
      </patternFill>
    </fill>
    <fill>
      <patternFill patternType="solid">
        <fgColor rgb="000A66C2"/>
        <bgColor rgb="000A66C2"/>
      </patternFill>
    </fill>
    <fill>
      <patternFill patternType="solid">
        <fgColor rgb="00FFE01B"/>
        <bgColor rgb="00FFE01B"/>
      </patternFill>
    </fill>
  </fills>
  <borders count="1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BFBFBF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BFBFBF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BFBFBF"/>
      </top>
    </border>
    <border>
      <left style="thin">
        <color rgb="00D9D9D9"/>
      </left>
      <right style="thin">
        <color rgb="00D9D9D9"/>
      </right>
      <bottom style="medium">
        <color rgb="00BFBFBF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medium">
        <color rgb="00BFBFBF"/>
      </bottom>
      <diagonal/>
    </border>
    <border>
      <left/>
      <right style="thin">
        <color rgb="00D9D9D9"/>
      </right>
      <top/>
      <bottom style="medium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4" fillId="4" borderId="4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0" fillId="0" borderId="3" pivotButton="0" quotePrefix="0" xfId="0"/>
    <xf numFmtId="0" fontId="5" fillId="0" borderId="2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5" fillId="0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4" fillId="6" borderId="4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1"/>
  <sheetViews>
    <sheetView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3" customWidth="1" min="5" max="5"/>
    <col width="15" customWidth="1" min="6" max="6"/>
    <col width="15" customWidth="1" min="7" max="7"/>
    <col width="15" customWidth="1" min="8" max="8"/>
    <col width="3" customWidth="1" min="9" max="9"/>
    <col width="15" customWidth="1" min="10" max="10"/>
    <col width="15" customWidth="1" min="11" max="11"/>
    <col width="15" customWidth="1" min="12" max="12"/>
  </cols>
  <sheetData>
    <row r="2" ht="45" customHeight="1">
      <c r="B2" s="1" t="inlineStr">
        <is>
          <t>MARKETING DASHBOARD</t>
        </is>
      </c>
    </row>
    <row r="3" ht="30" customHeight="1">
      <c r="B3" s="2" t="inlineStr">
        <is>
          <t>Last 30 Days</t>
        </is>
      </c>
      <c r="K3" s="3" t="inlineStr">
        <is>
          <t>Last Updated:</t>
        </is>
      </c>
      <c r="L3" s="4" t="n"/>
    </row>
    <row r="4" ht="8" customHeight="1"/>
    <row r="5" ht="30" customHeight="1">
      <c r="B5" s="5" t="inlineStr">
        <is>
          <t>🔍 GOOGLE SEARCH CONSOLE</t>
        </is>
      </c>
      <c r="C5" s="6" t="n"/>
      <c r="D5" s="6" t="n"/>
      <c r="F5" s="7" t="inlineStr">
        <is>
          <t>📸 INSTAGRAM</t>
        </is>
      </c>
      <c r="G5" s="6" t="n"/>
      <c r="H5" s="6" t="n"/>
      <c r="J5" s="8" t="inlineStr">
        <is>
          <t>👍 FACEBOOK PAGE</t>
        </is>
      </c>
      <c r="K5" s="6" t="n"/>
      <c r="L5" s="6" t="n"/>
    </row>
    <row r="6" ht="8" customHeight="1">
      <c r="B6" s="9" t="n"/>
      <c r="C6" s="10" t="n"/>
      <c r="D6" s="11" t="n"/>
      <c r="F6" s="9" t="n"/>
      <c r="G6" s="10" t="n"/>
      <c r="H6" s="11" t="n"/>
      <c r="J6" s="9" t="n"/>
      <c r="K6" s="10" t="n"/>
      <c r="L6" s="11" t="n"/>
    </row>
    <row r="7" ht="18" customHeight="1">
      <c r="B7" s="12">
        <f>IFERROR(INDEX(Data!E:E,MATCH("gsc_clicks",Data!B:B,0)),"Clicks")</f>
        <v/>
      </c>
      <c r="C7" s="13">
        <f>IFERROR(INDEX(Data!E:E,MATCH("gsc_impressions",Data!B:B,0)),"Impressions")</f>
        <v/>
      </c>
      <c r="D7" s="14">
        <f>IFERROR(INDEX(Data!E:E,MATCH("gsc_ctr",Data!B:B,0)),"Avg. CTR")</f>
        <v/>
      </c>
      <c r="F7" s="12">
        <f>IFERROR(INDEX(Data!E:E,MATCH("ig_followers",Data!B:B,0)),"Followers")</f>
        <v/>
      </c>
      <c r="G7" s="13">
        <f>IFERROR(INDEX(Data!E:E,MATCH("ig_reach",Data!B:B,0)),"Reach")</f>
        <v/>
      </c>
      <c r="H7" s="14">
        <f>IFERROR(INDEX(Data!E:E,MATCH("ig_engagement",Data!B:B,0)),"Engagement")</f>
        <v/>
      </c>
      <c r="J7" s="12">
        <f>IFERROR(INDEX(Data!E:E,MATCH("fb_followers",Data!B:B,0)),"Followers")</f>
        <v/>
      </c>
      <c r="K7" s="13">
        <f>IFERROR(INDEX(Data!E:E,MATCH("fb_reach",Data!B:B,0)),"Reach")</f>
        <v/>
      </c>
      <c r="L7" s="14">
        <f>IFERROR(INDEX(Data!E:E,MATCH("fb_engagement",Data!B:B,0)),"Engagement")</f>
        <v/>
      </c>
    </row>
    <row r="8" ht="32" customHeight="1">
      <c r="B8" s="15">
        <f>LET(val,IFERROR(VLOOKUP("gsc_clicks",Data!B:C,2,FALSE),0), IF(val&gt;=1000000,TEXT(val/1000000,"0.0")&amp;"M", IF(val&gt;=1000,TEXT(val/1000,"0.0")&amp;"K", TEXT(val,"#,##0"))))</f>
        <v/>
      </c>
      <c r="C8" s="16">
        <f>LET(val,IFERROR(VLOOKUP("gsc_impressions",Data!B:C,2,FALSE),0), IF(val&gt;=1000000,TEXT(val/1000000,"0.0")&amp;"M", IF(val&gt;=1000,TEXT(val/1000,"0.0")&amp;"K", TEXT(val,"#,##0"))))</f>
        <v/>
      </c>
      <c r="D8" s="17">
        <f>TEXT(IFERROR(VLOOKUP("gsc_ctr",Data!B:C,2,FALSE),0),"0.00%")</f>
        <v/>
      </c>
      <c r="F8" s="15">
        <f>LET(val,IFERROR(VLOOKUP("ig_followers",Data!B:C,2,FALSE),0), IF(val&gt;=1000000,TEXT(val/1000000,"0.0")&amp;"M", IF(val&gt;=1000,TEXT(val/1000,"0.0")&amp;"K", TEXT(val,"#,##0"))))</f>
        <v/>
      </c>
      <c r="G8" s="16">
        <f>LET(val,IFERROR(VLOOKUP("ig_reach",Data!B:C,2,FALSE),0), IF(val&gt;=1000000,TEXT(val/1000000,"0.0")&amp;"M", IF(val&gt;=1000,TEXT(val/1000,"0.0")&amp;"K", TEXT(val,"#,##0"))))</f>
        <v/>
      </c>
      <c r="H8" s="17">
        <f>LET(val,IFERROR(VLOOKUP("ig_engagement",Data!B:C,2,FALSE),0), IF(val&gt;=1000000,TEXT(val/1000000,"0.0")&amp;"M", IF(val&gt;=1000,TEXT(val/1000,"0.0")&amp;"K", TEXT(val,"#,##0"))))</f>
        <v/>
      </c>
      <c r="J8" s="15">
        <f>LET(val,IFERROR(VLOOKUP("fb_followers",Data!B:C,2,FALSE),0), IF(val&gt;=1000000,TEXT(val/1000000,"0.0")&amp;"M", IF(val&gt;=1000,TEXT(val/1000,"0.0")&amp;"K", TEXT(val,"#,##0"))))</f>
        <v/>
      </c>
      <c r="K8" s="16">
        <f>LET(val,IFERROR(VLOOKUP("fb_reach",Data!B:C,2,FALSE),0), IF(val&gt;=1000000,TEXT(val/1000000,"0.0")&amp;"M", IF(val&gt;=1000,TEXT(val/1000,"0.0")&amp;"K", TEXT(val,"#,##0"))))</f>
        <v/>
      </c>
      <c r="L8" s="17">
        <f>LET(val,IFERROR(VLOOKUP("fb_engagement",Data!B:C,2,FALSE),0), IF(val&gt;=1000000,TEXT(val/1000000,"0.0")&amp;"M", IF(val&gt;=1000,TEXT(val/1000,"0.0")&amp;"K", TEXT(val,"#,##0"))))</f>
        <v/>
      </c>
    </row>
    <row r="9" ht="18" customHeight="1">
      <c r="B9" s="18">
        <f>LET(curr,IFERROR(VLOOKUP("gsc_clicks",Data!B:C,2,FALSE),0), prev,IFERROR(VLOOKUP("gsc_clicks",Data!B:D,3,FALSE),0), IF(prev=0,"—",TEXT((curr-prev)/prev,"↑0.0%;↓0.0%;—")) )</f>
        <v/>
      </c>
      <c r="C9" s="19">
        <f>LET(curr,IFERROR(VLOOKUP("gsc_impressions",Data!B:C,2,FALSE),0), prev,IFERROR(VLOOKUP("gsc_impressions",Data!B:D,3,FALSE),0), IF(prev=0,"—",TEXT((curr-prev)/prev,"↑0.0%;↓0.0%;—")) )</f>
        <v/>
      </c>
      <c r="D9" s="20">
        <f>LET(curr,IFERROR(VLOOKUP("gsc_ctr",Data!B:C,2,FALSE),0), prev,IFERROR(VLOOKUP("gsc_ctr",Data!B:D,3,FALSE),0), IF(prev=0,"—",TEXT((curr-prev)/prev,"↑0.0%;↓0.0%;—")) )</f>
        <v/>
      </c>
      <c r="F9" s="18">
        <f>LET(curr,IFERROR(VLOOKUP("ig_followers",Data!B:C,2,FALSE),0), prev,IFERROR(VLOOKUP("ig_followers",Data!B:D,3,FALSE),0), IF(prev=0,"—",TEXT((curr-prev)/prev,"↑0.0%;↓0.0%;—")) )</f>
        <v/>
      </c>
      <c r="G9" s="19">
        <f>LET(curr,IFERROR(VLOOKUP("ig_reach",Data!B:C,2,FALSE),0), prev,IFERROR(VLOOKUP("ig_reach",Data!B:D,3,FALSE),0), IF(prev=0,"—",TEXT((curr-prev)/prev,"↑0.0%;↓0.0%;—")) )</f>
        <v/>
      </c>
      <c r="H9" s="20">
        <f>LET(curr,IFERROR(VLOOKUP("ig_engagement",Data!B:C,2,FALSE),0), prev,IFERROR(VLOOKUP("ig_engagement",Data!B:D,3,FALSE),0), IF(prev=0,"—",TEXT((curr-prev)/prev,"↑0.0%;↓0.0%;—")) )</f>
        <v/>
      </c>
      <c r="J9" s="18">
        <f>LET(curr,IFERROR(VLOOKUP("fb_followers",Data!B:C,2,FALSE),0), prev,IFERROR(VLOOKUP("fb_followers",Data!B:D,3,FALSE),0), IF(prev=0,"—",TEXT((curr-prev)/prev,"↑0.0%;↓0.0%;—")) )</f>
        <v/>
      </c>
      <c r="K9" s="19">
        <f>LET(curr,IFERROR(VLOOKUP("fb_reach",Data!B:C,2,FALSE),0), prev,IFERROR(VLOOKUP("fb_reach",Data!B:D,3,FALSE),0), IF(prev=0,"—",TEXT((curr-prev)/prev,"↑0.0%;↓0.0%;—")) )</f>
        <v/>
      </c>
      <c r="L9" s="20">
        <f>LET(curr,IFERROR(VLOOKUP("fb_engagement",Data!B:C,2,FALSE),0), prev,IFERROR(VLOOKUP("fb_engagement",Data!B:D,3,FALSE),0), IF(prev=0,"—",TEXT((curr-prev)/prev,"↑0.0%;↓0.0%;—")) )</f>
        <v/>
      </c>
    </row>
    <row r="10" ht="8" customHeight="1">
      <c r="B10" s="9" t="n"/>
      <c r="C10" s="10" t="n"/>
      <c r="D10" s="11" t="n"/>
      <c r="F10" s="9" t="n"/>
      <c r="G10" s="10" t="n"/>
      <c r="H10" s="11" t="n"/>
      <c r="J10" s="9" t="n"/>
      <c r="K10" s="10" t="n"/>
      <c r="L10" s="11" t="n"/>
    </row>
    <row r="11" ht="22" customHeight="1">
      <c r="B11" s="21">
        <f>"Avg. " &amp; TEXT(IFERROR(VLOOKUP("gsc_position",Data!B:C,2,FALSE),0),"0.0") &amp; " position"</f>
        <v/>
      </c>
      <c r="C11" s="22" t="n"/>
      <c r="D11" s="23" t="n"/>
      <c r="F11" s="21">
        <f>"Eng. Rate " &amp; TEXT(IFERROR(VLOOKUP("ig_engagement",Data!B:C,2,FALSE)/VLOOKUP("ig_reach",Data!B:C,2,FALSE),0),"0.0%") &amp; " • " &amp; LET(val,IFERROR(VLOOKUP("ig_saves",Data!B:C,2,FALSE),0), IF(val&gt;=1000,TEXT(val/1000,"0.0")&amp;"K", TEXT(val,"#,##0"))) &amp; " saves"</f>
        <v/>
      </c>
      <c r="G11" s="22" t="n"/>
      <c r="H11" s="23" t="n"/>
      <c r="J11" s="21">
        <f>"Eng. Rate " &amp; TEXT(IFERROR(VLOOKUP("fb_engagement",Data!B:C,2,FALSE)/VLOOKUP("fb_reach",Data!B:C,2,FALSE),0),"0.0%") &amp; " • " &amp; LET(val,IFERROR(VLOOKUP("fb_video_views",Data!B:C,2,FALSE),0), IF(val&gt;=1000,TEXT(val/1000,"0.0")&amp;"K", TEXT(val,"#,##0"))) &amp; " video views"</f>
        <v/>
      </c>
      <c r="K11" s="22" t="n"/>
      <c r="L11" s="23" t="n"/>
    </row>
    <row r="12" ht="20" customHeight="1">
      <c r="B12" s="24" t="inlineStr"/>
      <c r="C12" s="25" t="n"/>
      <c r="D12" s="26" t="n"/>
      <c r="F12" s="24">
        <f>IFERROR(VLOOKUP("ig_posts",Data!B:C,2,FALSE),0) &amp; " posts • " &amp; IFERROR(VLOOKUP("ig_stories",Data!B:C,2,FALSE),0) &amp; " stories • " &amp; IFERROR(VLOOKUP("ig_reels",Data!B:C,2,FALSE),0) &amp; " reels"</f>
        <v/>
      </c>
      <c r="G12" s="25" t="n"/>
      <c r="H12" s="26" t="n"/>
      <c r="J12" s="24">
        <f>IFERROR(VLOOKUP("fb_posts",Data!B:C,2,FALSE),0) &amp; " posts • " &amp; IFERROR(VLOOKUP("fb_videos",Data!B:C,2,FALSE),0) &amp; " videos"</f>
        <v/>
      </c>
      <c r="K12" s="25" t="n"/>
      <c r="L12" s="26" t="n"/>
    </row>
    <row r="13" ht="8" customHeight="1"/>
    <row r="14" ht="30" customHeight="1">
      <c r="B14" s="27" t="inlineStr">
        <is>
          <t>▶️ YOUTUBE CHANNEL</t>
        </is>
      </c>
      <c r="C14" s="6" t="n"/>
      <c r="D14" s="6" t="n"/>
      <c r="F14" s="28" t="inlineStr">
        <is>
          <t>💼 LINKEDIN PROFILE</t>
        </is>
      </c>
      <c r="G14" s="6" t="n"/>
      <c r="H14" s="6" t="n"/>
      <c r="J14" s="29" t="inlineStr">
        <is>
          <t>🐵 MAILCHIMP</t>
        </is>
      </c>
      <c r="K14" s="6" t="n"/>
      <c r="L14" s="6" t="n"/>
    </row>
    <row r="15" ht="8" customHeight="1">
      <c r="B15" s="9" t="n"/>
      <c r="C15" s="10" t="n"/>
      <c r="D15" s="11" t="n"/>
      <c r="F15" s="9" t="n"/>
      <c r="G15" s="10" t="n"/>
      <c r="H15" s="11" t="n"/>
      <c r="J15" s="9" t="n"/>
      <c r="K15" s="10" t="n"/>
      <c r="L15" s="11" t="n"/>
    </row>
    <row r="16" ht="18" customHeight="1">
      <c r="B16" s="12">
        <f>IFERROR(INDEX(Data!E:E,MATCH("yt_subscribers",Data!B:B,0)),"Subscribers")</f>
        <v/>
      </c>
      <c r="C16" s="13">
        <f>IFERROR(INDEX(Data!E:E,MATCH("yt_views",Data!B:B,0)),"Views")</f>
        <v/>
      </c>
      <c r="D16" s="14">
        <f>IFERROR(INDEX(Data!E:E,MATCH("yt_watch_time",Data!B:B,0)),"Watch Time (hrs)")</f>
        <v/>
      </c>
      <c r="F16" s="12">
        <f>IFERROR(INDEX(Data!E:E,MATCH("li_followers",Data!B:B,0)),"Followers")</f>
        <v/>
      </c>
      <c r="G16" s="13">
        <f>IFERROR(INDEX(Data!E:E,MATCH("li_impressions",Data!B:B,0)),"Impressions")</f>
        <v/>
      </c>
      <c r="H16" s="14">
        <f>IFERROR(INDEX(Data!E:E,MATCH("li_engagement",Data!B:B,0)),"Engagement")</f>
        <v/>
      </c>
      <c r="J16" s="12">
        <f>IFERROR(INDEX(Data!E:E,MATCH("mc_list_size",Data!B:B,0)),"List Size")</f>
        <v/>
      </c>
      <c r="K16" s="13">
        <f>IFERROR(INDEX(Data!E:E,MATCH("mc_open_rate",Data!B:B,0)),"Open Rate")</f>
        <v/>
      </c>
      <c r="L16" s="14">
        <f>IFERROR(INDEX(Data!E:E,MATCH("mc_click_rate",Data!B:B,0)),"Click Rate")</f>
        <v/>
      </c>
    </row>
    <row r="17" ht="32" customHeight="1">
      <c r="B17" s="15">
        <f>LET(val,IFERROR(VLOOKUP("yt_subscribers",Data!B:C,2,FALSE),0), IF(val&gt;=1000000,TEXT(val/1000000,"0.0")&amp;"M", IF(val&gt;=1000,TEXT(val/1000,"0.0")&amp;"K", TEXT(val,"#,##0"))))</f>
        <v/>
      </c>
      <c r="C17" s="16">
        <f>LET(val,IFERROR(VLOOKUP("yt_views",Data!B:C,2,FALSE),0), IF(val&gt;=1000000,TEXT(val/1000000,"0.0")&amp;"M", IF(val&gt;=1000,TEXT(val/1000,"0.0")&amp;"K", TEXT(val,"#,##0"))))</f>
        <v/>
      </c>
      <c r="D17" s="17">
        <f>LET(val,IFERROR(VLOOKUP("yt_watch_time",Data!B:C,2,FALSE),0), IF(val&gt;=1000000,TEXT(val/1000000,"0.0")&amp;"M", IF(val&gt;=1000,TEXT(val/1000,"0.0")&amp;"K", TEXT(val,"#,##0.0"))))</f>
        <v/>
      </c>
      <c r="F17" s="15">
        <f>LET(val,IFERROR(VLOOKUP("li_followers",Data!B:C,2,FALSE),0), IF(val&gt;=1000000,TEXT(val/1000000,"0.0")&amp;"M", IF(val&gt;=1000,TEXT(val/1000,"0.0")&amp;"K", TEXT(val,"#,##0"))))</f>
        <v/>
      </c>
      <c r="G17" s="16">
        <f>LET(val,IFERROR(VLOOKUP("li_impressions",Data!B:C,2,FALSE),0), IF(val&gt;=1000000,TEXT(val/1000000,"0.0")&amp;"M", IF(val&gt;=1000,TEXT(val/1000,"0.0")&amp;"K", TEXT(val,"#,##0"))))</f>
        <v/>
      </c>
      <c r="H17" s="17">
        <f>LET(val,IFERROR(VLOOKUP("li_engagement",Data!B:C,2,FALSE),0), IF(val&gt;=1000000,TEXT(val/1000000,"0.0")&amp;"M", IF(val&gt;=1000,TEXT(val/1000,"0.0")&amp;"K", TEXT(val,"#,##0"))))</f>
        <v/>
      </c>
      <c r="J17" s="15">
        <f>LET(val,IFERROR(VLOOKUP("mc_list_size",Data!B:C,2,FALSE),0), IF(val&gt;=1000000,TEXT(val/1000000,"0.0")&amp;"M", IF(val&gt;=1000,TEXT(val/1000,"0.0")&amp;"K", TEXT(val,"#,##0"))))</f>
        <v/>
      </c>
      <c r="K17" s="16">
        <f>TEXT(IFERROR(VLOOKUP("mc_open_rate",Data!B:C,2,FALSE),0),"0.00%")</f>
        <v/>
      </c>
      <c r="L17" s="17">
        <f>TEXT(IFERROR(VLOOKUP("mc_click_rate",Data!B:C,2,FALSE),0),"0.00%")</f>
        <v/>
      </c>
    </row>
    <row r="18" ht="18" customHeight="1">
      <c r="B18" s="18">
        <f>LET(curr,IFERROR(VLOOKUP("yt_subscribers",Data!B:C,2,FALSE),0), prev,IFERROR(VLOOKUP("yt_subscribers",Data!B:D,3,FALSE),0), IF(prev=0,"—",TEXT((curr-prev)/prev,"↑0.0%;↓0.0%;—")) )</f>
        <v/>
      </c>
      <c r="C18" s="19">
        <f>LET(curr,IFERROR(VLOOKUP("yt_views",Data!B:C,2,FALSE),0), prev,IFERROR(VLOOKUP("yt_views",Data!B:D,3,FALSE),0), IF(prev=0,"—",TEXT((curr-prev)/prev,"↑0.0%;↓0.0%;—")) )</f>
        <v/>
      </c>
      <c r="D18" s="20">
        <f>LET(curr,IFERROR(VLOOKUP("yt_watch_time",Data!B:C,2,FALSE),0), prev,IFERROR(VLOOKUP("yt_watch_time",Data!B:D,3,FALSE),0), IF(prev=0,"—",TEXT((curr-prev)/prev,"↑0.0%;↓0.0%;—")) )</f>
        <v/>
      </c>
      <c r="F18" s="18">
        <f>LET(curr,IFERROR(VLOOKUP("li_followers",Data!B:C,2,FALSE),0), prev,IFERROR(VLOOKUP("li_followers",Data!B:D,3,FALSE),0), IF(prev=0,"—",TEXT((curr-prev)/prev,"↑0.0%;↓0.0%;—")) )</f>
        <v/>
      </c>
      <c r="G18" s="19">
        <f>LET(curr,IFERROR(VLOOKUP("li_impressions",Data!B:C,2,FALSE),0), prev,IFERROR(VLOOKUP("li_impressions",Data!B:D,3,FALSE),0), IF(prev=0,"—",TEXT((curr-prev)/prev,"↑0.0%;↓0.0%;—")) )</f>
        <v/>
      </c>
      <c r="H18" s="20">
        <f>LET(curr,IFERROR(VLOOKUP("li_engagement",Data!B:C,2,FALSE),0), prev,IFERROR(VLOOKUP("li_engagement",Data!B:D,3,FALSE),0), IF(prev=0,"—",TEXT((curr-prev)/prev,"↑0.0%;↓0.0%;—")) )</f>
        <v/>
      </c>
      <c r="J18" s="18">
        <f>LET(curr,IFERROR(VLOOKUP("mc_list_size",Data!B:C,2,FALSE),0), prev,IFERROR(VLOOKUP("mc_list_size",Data!B:D,3,FALSE),0), IF(prev=0,"—",TEXT((curr-prev)/prev,"↑0.0%;↓0.0%;—")) )</f>
        <v/>
      </c>
      <c r="K18" s="19">
        <f>LET(curr,IFERROR(VLOOKUP("mc_open_rate",Data!B:C,2,FALSE),0), prev,IFERROR(VLOOKUP("mc_open_rate",Data!B:D,3,FALSE),0), IF(prev=0,"—",TEXT((curr-prev)/prev,"↑0.0%;↓0.0%;—")) )</f>
        <v/>
      </c>
      <c r="L18" s="20">
        <f>LET(curr,IFERROR(VLOOKUP("mc_click_rate",Data!B:C,2,FALSE),0), prev,IFERROR(VLOOKUP("mc_click_rate",Data!B:D,3,FALSE),0), IF(prev=0,"—",TEXT((curr-prev)/prev,"↑0.0%;↓0.0%;—")) )</f>
        <v/>
      </c>
    </row>
    <row r="19" ht="8" customHeight="1">
      <c r="B19" s="9" t="n"/>
      <c r="C19" s="10" t="n"/>
      <c r="D19" s="11" t="n"/>
      <c r="F19" s="9" t="n"/>
      <c r="G19" s="10" t="n"/>
      <c r="H19" s="11" t="n"/>
      <c r="J19" s="9" t="n"/>
      <c r="K19" s="10" t="n"/>
      <c r="L19" s="11" t="n"/>
    </row>
    <row r="20" ht="22" customHeight="1">
      <c r="B20" s="21">
        <f>LET(val,IFERROR(VLOOKUP("yt_impressions",Data!B:C,2,FALSE),0), IF(val&gt;=1000,TEXT(val/1000,"0.0")&amp;"K", TEXT(val,"#,##0"))) &amp; " impr • " &amp; TEXT(IFERROR(VLOOKUP("yt_ctr",Data!B:C,2,FALSE),0),"0.0%") &amp; " CTR"</f>
        <v/>
      </c>
      <c r="C20" s="22" t="n"/>
      <c r="D20" s="23" t="n"/>
      <c r="F20" s="21">
        <f>"Eng. Rate " &amp; TEXT(IFERROR(VLOOKUP("li_engagement",Data!B:C,2,FALSE)/VLOOKUP("li_impressions",Data!B:C,2,FALSE),0),"0.0%") &amp; " • " &amp; LET(val,IFERROR(VLOOKUP("li_clicks",Data!B:C,2,FALSE),0), IF(val&gt;=1000,TEXT(val/1000,"0.0")&amp;"K", TEXT(val,"#,##0"))) &amp; " clicks"</f>
        <v/>
      </c>
      <c r="G20" s="22" t="n"/>
      <c r="H20" s="23" t="n"/>
      <c r="J20" s="21">
        <f>LET(val,IFERROR(VLOOKUP("mc_emails_sent",Data!B:C,2,FALSE),0), IF(val&gt;=1000,TEXT(val/1000,"0.0")&amp;"K", TEXT(val,"#,##0"))) &amp; " emails sent"</f>
        <v/>
      </c>
      <c r="K20" s="22" t="n"/>
      <c r="L20" s="23" t="n"/>
    </row>
    <row r="21" ht="20" customHeight="1">
      <c r="B21" s="24">
        <f>IFERROR(VLOOKUP("yt_videos",Data!B:C,2,FALSE),0) &amp; " videos published"</f>
        <v/>
      </c>
      <c r="C21" s="25" t="n"/>
      <c r="D21" s="26" t="n"/>
      <c r="F21" s="24">
        <f>IFERROR(VLOOKUP("li_posts",Data!B:C,2,FALSE),0) &amp; " posts published"</f>
        <v/>
      </c>
      <c r="G21" s="25" t="n"/>
      <c r="H21" s="26" t="n"/>
      <c r="J21" s="24">
        <f>IFERROR(VLOOKUP("mc_campaigns",Data!B:C,2,FALSE),0) &amp; " campaigns sent"</f>
        <v/>
      </c>
      <c r="K21" s="25" t="n"/>
      <c r="L21" s="26" t="n"/>
    </row>
    <row r="22" ht="8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F20:H20"/>
    <mergeCell ref="B11:D11"/>
    <mergeCell ref="B14:D14"/>
    <mergeCell ref="F5:H5"/>
    <mergeCell ref="J20:L20"/>
    <mergeCell ref="J11:L11"/>
    <mergeCell ref="B2:L2"/>
    <mergeCell ref="J12:L12"/>
    <mergeCell ref="J21:L21"/>
    <mergeCell ref="B20:D20"/>
    <mergeCell ref="B5:D5"/>
    <mergeCell ref="F14:H14"/>
    <mergeCell ref="F11:H11"/>
    <mergeCell ref="J5:L5"/>
    <mergeCell ref="J14:L14"/>
    <mergeCell ref="B21:D21"/>
    <mergeCell ref="F12:H12"/>
    <mergeCell ref="B12:D12"/>
    <mergeCell ref="F21:H21"/>
  </mergeCells>
  <dataValidations count="1">
    <dataValidation sqref="B3" showDropDown="0" showInputMessage="0" showErrorMessage="0" allowBlank="1" errorTitle="Invalid Time Period" error="Invalid selection" promptTitle="Time Period" prompt="Please select a time period" type="list">
      <formula1>"Last 7 Days,Last 30 Days,Last 60 Days,Last 90 Days"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metric_key</t>
        </is>
      </c>
      <c r="C1" t="inlineStr">
        <is>
          <t>current_value</t>
        </is>
      </c>
      <c r="D1" t="inlineStr">
        <is>
          <t>previous_value</t>
        </is>
      </c>
      <c r="E1" t="inlineStr">
        <is>
          <t>metric_label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sync_date</t>
        </is>
      </c>
      <c r="B1" t="inlineStr">
        <is>
          <t>metric_key</t>
        </is>
      </c>
      <c r="C1" t="inlineStr">
        <is>
          <t>value</t>
        </is>
      </c>
      <c r="D1" t="inlineStr">
        <is>
          <t>period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2025-10-22T14:27:15Z</dcterms:created>
  <dcterms:modified xsi:type="dcterms:W3CDTF">2025-10-22T14:27:15Z</dcterms:modified>
</cp:coreProperties>
</file>